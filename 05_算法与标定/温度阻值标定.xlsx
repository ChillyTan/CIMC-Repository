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<sst xmlns="http://schemas.openxmlformats.org/spreadsheetml/2006/main" count="21" uniqueCount="20">
  <si>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阻值</t>
  </si>
  <si>
    <t>电压</t>
  </si>
  <si>
    <t>温度</t>
  </si>
  <si>
    <t>ADC采集1</t>
  </si>
  <si>
    <t>PT100-V2</t>
  </si>
  <si>
    <t>使用简单线性拟合R-&gt;T</t>
  </si>
  <si>
    <t>R</t>
  </si>
  <si>
    <t>GD_V</t>
  </si>
  <si>
    <t>T</t>
  </si>
  <si>
    <t>GD_R</t>
  </si>
  <si>
    <t>GD_T</t>
  </si>
  <si>
    <t>delta_R</t>
  </si>
  <si>
    <t>delta_T</t>
  </si>
  <si>
    <t>最大误差</t>
  </si>
  <si>
    <t>平均误差</t>
  </si>
  <si>
    <t>精密电阻板V2</t>
  </si>
  <si>
    <t>温度T</t>
  </si>
  <si>
    <t>并联3.9k</t>
  </si>
  <si>
    <t>并5.1k</t>
  </si>
  <si>
    <t>并联2.7k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</si>
</sst>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4" borderId="9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0">
      <alignment vertical="center"/>
    </xf>
    <xf numFmtId="0" fontId="7" fillId="0" borderId="10">
      <alignment vertical="center"/>
    </xf>
    <xf numFmtId="0" fontId="8" fillId="0" borderId="11">
      <alignment vertical="center"/>
    </xf>
    <xf numFmtId="0" fontId="8" fillId="0" borderId="0">
      <alignment vertical="center"/>
    </xf>
    <xf numFmtId="0" fontId="9" fillId="5" borderId="12">
      <alignment vertical="center"/>
    </xf>
    <xf numFmtId="0" fontId="10" fillId="6" borderId="13">
      <alignment vertical="center"/>
    </xf>
    <xf numFmtId="0" fontId="11" fillId="6" borderId="12">
      <alignment vertical="center"/>
    </xf>
    <xf numFmtId="0" fontId="12" fillId="7" borderId="14">
      <alignment vertical="center"/>
    </xf>
    <xf numFmtId="0" fontId="13" fillId="0" borderId="15">
      <alignment vertical="center"/>
    </xf>
    <xf numFmtId="0" fontId="14" fillId="0" borderId="16">
      <alignment vertical="center"/>
    </xf>
    <xf numFmtId="0" fontId="15" fillId="8" borderId="0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18" fillId="14" borderId="0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8" fillId="18" borderId="0">
      <alignment vertical="center"/>
    </xf>
    <xf numFmtId="0" fontId="18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8" fillId="22" borderId="0">
      <alignment vertical="center"/>
    </xf>
    <xf numFmtId="0" fontId="18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8" fillId="26" borderId="0">
      <alignment vertical="center"/>
    </xf>
    <xf numFmtId="0" fontId="18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8" fillId="30" borderId="0">
      <alignment vertical="center"/>
    </xf>
    <xf numFmtId="0" fontId="18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18" fillId="34" borderId="0">
      <alignment vertical="center"/>
    </xf>
  </cellStyleXfs>
  <cellXfs count="12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6"/>
  <sheetViews>
    <sheetView tabSelected="1" zoomScale="190" zoomScaleNormal="190" topLeftCell="A28" workbookViewId="0">
      <selection activeCell="F37" sqref="F37"/>
    </sheetView>
  </sheetViews>
  <sheetFormatPr defaultColWidth="9" defaultRowHeight="14" outlineLevelCol="6"/>
  <cols>
    <col min="3" max="3" width="11.7272727272727"/>
    <col min="4" max="4" width="13.3454545454545" customWidth="1"/>
    <col min="5" max="5" width="11.7272727272727"/>
    <col min="6" max="7" width="12.8181818181818"/>
  </cols>
  <sheetData>
    <row r="1" spans="1:6">
      <c r="A1" t="s">
        <v>0</v>
      </c>
      <c r="B1" t="s">
        <v>1</v>
      </c>
      <c r="C1" t="s">
        <v>2</v>
      </c>
      <c r="D1" t="s">
        <v>3</v>
      </c>
    </row>
    <row r="2" spans="1:6">
      <c r="A2">
        <v>0</v>
      </c>
      <c r="B2">
        <v>0.01</v>
      </c>
      <c r="D2">
        <v>0.015</v>
      </c>
    </row>
    <row r="3" spans="1:6">
      <c r="A3">
        <v>81.76</v>
      </c>
      <c r="B3">
        <v>1.74</v>
      </c>
      <c r="C3">
        <v>-46.503874</v>
      </c>
      <c r="D3">
        <v>1.755</v>
      </c>
    </row>
    <row r="4" spans="1:6">
      <c r="A4">
        <v>82.4</v>
      </c>
      <c r="B4">
        <v>1.75</v>
      </c>
      <c r="C4">
        <v>-44.989158</v>
      </c>
      <c r="D4">
        <v>1.779</v>
      </c>
    </row>
    <row r="5" spans="1:6">
      <c r="A5">
        <v>100.1</v>
      </c>
      <c r="B5">
        <v>2.13</v>
      </c>
      <c r="C5">
        <v>0.255875</v>
      </c>
      <c r="D5">
        <v>2.146</v>
      </c>
    </row>
    <row r="6" spans="1:6">
      <c r="A6">
        <v>106.88</v>
      </c>
      <c r="B6">
        <v>2.27</v>
      </c>
      <c r="C6">
        <v>17.186197</v>
      </c>
      <c r="D6">
        <v>2.285</v>
      </c>
    </row>
    <row r="7" spans="1:6">
      <c r="A7">
        <v>110.66</v>
      </c>
      <c r="B7">
        <v>2.35</v>
      </c>
      <c r="C7">
        <v>27.487666</v>
      </c>
      <c r="D7">
        <v>2.36</v>
      </c>
    </row>
    <row r="8" spans="1:6">
      <c r="A8">
        <v>112.6</v>
      </c>
      <c r="B8">
        <v>2.39</v>
      </c>
      <c r="C8">
        <v>32.391657</v>
      </c>
      <c r="D8">
        <v>2.398</v>
      </c>
    </row>
    <row r="9" spans="1:6">
      <c r="A9">
        <v>122.9</v>
      </c>
      <c r="B9">
        <v>2.62</v>
      </c>
      <c r="C9">
        <v>59.360687</v>
      </c>
      <c r="D9">
        <v>2.631</v>
      </c>
    </row>
    <row r="10" spans="1:6">
      <c r="A10">
        <v>130.9</v>
      </c>
      <c r="B10">
        <v>2.8</v>
      </c>
      <c r="C10">
        <v>79.99716</v>
      </c>
      <c r="D10">
        <v>2.814</v>
      </c>
    </row>
    <row r="11" spans="1:6">
      <c r="A11">
        <v>138.85</v>
      </c>
      <c r="B11">
        <v>3</v>
      </c>
      <c r="C11">
        <v>101.041479</v>
      </c>
      <c r="D11">
        <v>2.964</v>
      </c>
    </row>
    <row r="12" spans="1:6">
      <c r="A12">
        <v>150.2</v>
      </c>
      <c r="B12">
        <v>3.2</v>
      </c>
      <c r="C12">
        <v>131.057392</v>
      </c>
      <c r="D12">
        <v>3.23</v>
      </c>
    </row>
    <row r="13" spans="1:6">
      <c r="A13">
        <v>160.15</v>
      </c>
      <c r="B13">
        <v>3.4</v>
      </c>
      <c r="C13">
        <v>157.691789</v>
      </c>
      <c r="D13">
        <v>3.425</v>
      </c>
    </row>
    <row r="16" ht="14.75" spans="1:6">
      <c r="A16" t="s">
        <v>4</v>
      </c>
      <c r="F16" t="s">
        <v>5</v>
      </c>
    </row>
    <row r="17" ht="15.5" spans="1:7">
      <c r="A17" s="1" t="s">
        <v>6</v>
      </c>
      <c r="B17" t="s">
        <v>7</v>
      </c>
      <c r="C17" s="2" t="s">
        <v>8</v>
      </c>
      <c r="D17" s="1" t="s">
        <v>9</v>
      </c>
      <c r="E17" s="2" t="s">
        <v>10</v>
      </c>
      <c r="F17" s="3" t="s">
        <v>11</v>
      </c>
      <c r="G17" s="4" t="s">
        <v>12</v>
      </c>
    </row>
    <row r="18" ht="14.75" spans="1:7">
      <c r="A18" s="1">
        <v>0</v>
      </c>
      <c r="C18" s="2"/>
      <c r="D18" s="1"/>
      <c r="E18" s="2"/>
      <c r="F18" s="5"/>
      <c r="G18" s="6"/>
    </row>
    <row r="19" spans="1:7">
      <c r="A19" s="1">
        <v>81.76</v>
      </c>
      <c r="B19">
        <v>1.71025</v>
      </c>
      <c r="C19" s="2">
        <v>-46.352433</v>
      </c>
      <c r="D19" s="1">
        <v>81.773705</v>
      </c>
      <c r="E19" s="2">
        <v>-47.334263</v>
      </c>
      <c r="F19" s="5">
        <f>ABS(D19-A19)</f>
        <v>0.0137050000000016</v>
      </c>
      <c r="G19" s="6">
        <f>ABS(E19-C19)</f>
        <v>0.981830000000002</v>
      </c>
    </row>
    <row r="20" spans="1:7">
      <c r="A20" s="1">
        <v>82.4</v>
      </c>
      <c r="B20">
        <v>1.7225</v>
      </c>
      <c r="C20" s="2">
        <v>-44.73664</v>
      </c>
      <c r="D20" s="1">
        <v>82.353561</v>
      </c>
      <c r="E20" s="2">
        <v>-45.828358</v>
      </c>
      <c r="F20" s="5">
        <f t="shared" ref="F20:F29" si="0">ABS(D20-A20)</f>
        <v>0.0464390000000066</v>
      </c>
      <c r="G20" s="6">
        <f t="shared" ref="G20:G29" si="1">ABS(E20-C20)</f>
        <v>1.091718</v>
      </c>
    </row>
    <row r="21" spans="1:7">
      <c r="A21" s="1">
        <v>100.1</v>
      </c>
      <c r="B21">
        <v>2.092875</v>
      </c>
      <c r="C21" s="2">
        <v>0.255875</v>
      </c>
      <c r="D21" s="1">
        <v>100.072067</v>
      </c>
      <c r="E21" s="2">
        <v>0.187161</v>
      </c>
      <c r="F21" s="5">
        <f t="shared" si="0"/>
        <v>0.0279329999999902</v>
      </c>
      <c r="G21" s="6">
        <f t="shared" si="1"/>
        <v>0.068714</v>
      </c>
    </row>
    <row r="22" spans="1:7">
      <c r="A22" s="1">
        <v>106.88</v>
      </c>
      <c r="B22">
        <v>2.2355</v>
      </c>
      <c r="C22" s="2">
        <v>17.649104</v>
      </c>
      <c r="D22" s="1">
        <v>106.898834</v>
      </c>
      <c r="E22" s="2">
        <v>17.900976</v>
      </c>
      <c r="F22" s="5">
        <f t="shared" si="0"/>
        <v>0.0188339999999982</v>
      </c>
      <c r="G22" s="6">
        <f t="shared" si="1"/>
        <v>0.251871999999999</v>
      </c>
    </row>
    <row r="23" spans="1:7">
      <c r="A23" s="1">
        <v>110.66</v>
      </c>
      <c r="B23">
        <v>2.314125</v>
      </c>
      <c r="C23" s="2">
        <v>27.384499</v>
      </c>
      <c r="D23" s="1">
        <v>110.658936</v>
      </c>
      <c r="E23" s="2">
        <v>27.666079</v>
      </c>
      <c r="F23" s="5">
        <f t="shared" si="0"/>
        <v>0.00106399999999951</v>
      </c>
      <c r="G23" s="6">
        <f t="shared" si="1"/>
        <v>0.281579999999998</v>
      </c>
    </row>
    <row r="24" spans="1:7">
      <c r="A24" s="1">
        <v>112.6</v>
      </c>
      <c r="B24">
        <v>2.35425</v>
      </c>
      <c r="C24" s="2">
        <v>32.391657</v>
      </c>
      <c r="D24" s="1">
        <v>112.57785</v>
      </c>
      <c r="E24" s="2">
        <v>32.665073</v>
      </c>
      <c r="F24" s="5">
        <f t="shared" si="0"/>
        <v>0.0221499999999963</v>
      </c>
      <c r="G24" s="6">
        <f t="shared" si="1"/>
        <v>0.273415999999997</v>
      </c>
    </row>
    <row r="25" spans="1:7">
      <c r="A25" s="1">
        <v>122.9</v>
      </c>
      <c r="B25">
        <v>2.57125</v>
      </c>
      <c r="C25" s="2">
        <v>59.100326</v>
      </c>
      <c r="D25" s="1">
        <v>122.949509</v>
      </c>
      <c r="E25" s="2">
        <v>59.600597</v>
      </c>
      <c r="F25" s="5">
        <f t="shared" si="0"/>
        <v>0.0495090000000005</v>
      </c>
      <c r="G25" s="6">
        <f t="shared" si="1"/>
        <v>0.500270999999998</v>
      </c>
    </row>
    <row r="26" spans="1:7">
      <c r="A26" s="1">
        <v>130.9</v>
      </c>
      <c r="B26">
        <v>2.737625</v>
      </c>
      <c r="C26" s="2">
        <v>79.99716</v>
      </c>
      <c r="D26" s="1">
        <v>130.912079</v>
      </c>
      <c r="E26" s="2">
        <v>80.279648</v>
      </c>
      <c r="F26" s="5">
        <f t="shared" si="0"/>
        <v>0.012079</v>
      </c>
      <c r="G26" s="6">
        <f t="shared" si="1"/>
        <v>0.282488000000001</v>
      </c>
    </row>
    <row r="27" spans="1:7">
      <c r="A27" s="1">
        <v>138.85</v>
      </c>
      <c r="B27">
        <v>2.904375</v>
      </c>
      <c r="C27" s="2">
        <v>100.909457</v>
      </c>
      <c r="D27" s="1">
        <v>138.88063</v>
      </c>
      <c r="E27" s="2">
        <v>100.974228</v>
      </c>
      <c r="F27" s="5">
        <f t="shared" si="0"/>
        <v>0.0306300000000022</v>
      </c>
      <c r="G27" s="6">
        <f t="shared" si="1"/>
        <v>0.0647709999999933</v>
      </c>
    </row>
    <row r="28" spans="1:7">
      <c r="A28" s="1">
        <v>150.2</v>
      </c>
      <c r="B28">
        <v>3.139625</v>
      </c>
      <c r="C28" s="2">
        <v>131.057392</v>
      </c>
      <c r="D28" s="1">
        <v>150.143005</v>
      </c>
      <c r="E28" s="2">
        <v>130.222961</v>
      </c>
      <c r="F28" s="5">
        <f t="shared" si="0"/>
        <v>0.0569950000000006</v>
      </c>
      <c r="G28" s="6">
        <f t="shared" si="1"/>
        <v>0.834430999999995</v>
      </c>
    </row>
    <row r="29" ht="14.75" spans="1:7">
      <c r="A29" s="1">
        <v>160.15</v>
      </c>
      <c r="B29">
        <v>3.349</v>
      </c>
      <c r="C29" s="2">
        <v>157.827231</v>
      </c>
      <c r="D29" s="1">
        <v>160.150009</v>
      </c>
      <c r="E29" s="2">
        <v>156.211472</v>
      </c>
      <c r="F29" s="5">
        <f t="shared" si="0"/>
        <v>9.00000000569889e-6</v>
      </c>
      <c r="G29" s="6">
        <f t="shared" si="1"/>
        <v>1.61575900000003</v>
      </c>
    </row>
    <row r="30" ht="14.75" spans="1:7">
      <c r="E30" t="s">
        <v>13</v>
      </c>
      <c r="F30" s="7">
        <f>MAX(F19:F29)</f>
        <v>0.0569950000000006</v>
      </c>
      <c r="G30" s="8">
        <f>MAX(G19:G29)</f>
        <v>1.61575900000003</v>
      </c>
    </row>
    <row r="31" ht="14.75" spans="1:7">
      <c r="E31" t="s">
        <v>14</v>
      </c>
      <c r="F31" s="9">
        <f>AVERAGE(F19:F29)</f>
        <v>0.0253951818181819</v>
      </c>
      <c r="G31" s="10">
        <f>AVERAGE(G19:G29)</f>
        <v>0.567895454545455</v>
      </c>
    </row>
    <row r="32" ht="14.75"/>
    <row r="33" spans="1:5">
      <c r="D33" t="s">
        <v>15</v>
      </c>
      <c r="E33" t="s">
        <v>16</v>
      </c>
    </row>
    <row r="34" spans="1:5">
      <c r="A34" s="1">
        <v>81.76</v>
      </c>
      <c r="B34">
        <v>80.6</v>
      </c>
      <c r="C34" t="s">
        <v>17</v>
      </c>
      <c r="D34">
        <v>80.49</v>
      </c>
    </row>
    <row r="35" spans="1:5">
      <c r="A35" s="2">
        <v>82.4</v>
      </c>
      <c r="B35">
        <v>82</v>
      </c>
      <c r="D35">
        <v>82.42</v>
      </c>
    </row>
    <row r="36" spans="1:5">
      <c r="A36" s="2">
        <v>100.1</v>
      </c>
      <c r="B36">
        <v>100</v>
      </c>
      <c r="D36">
        <v>100.17</v>
      </c>
    </row>
    <row r="37" spans="1:5">
      <c r="A37" s="2">
        <v>110.1</v>
      </c>
      <c r="B37">
        <v>107</v>
      </c>
      <c r="C37" t="s">
        <v>18</v>
      </c>
      <c r="D37">
        <v>107.72</v>
      </c>
    </row>
    <row r="38" spans="1:5">
      <c r="A38" s="2">
        <v>112.6</v>
      </c>
      <c r="B38">
        <v>113</v>
      </c>
      <c r="C38"/>
      <c r="D38" s="11">
        <v>112.6</v>
      </c>
    </row>
    <row r="39" spans="1:5">
      <c r="A39" s="1">
        <v>120.4</v>
      </c>
      <c r="B39">
        <v>115</v>
      </c>
      <c r="C39" t="s">
        <v>19</v>
      </c>
      <c r="D39">
        <v>115.28</v>
      </c>
    </row>
    <row r="40" spans="1:5">
      <c r="A40" s="2">
        <v>122.9</v>
      </c>
      <c r="B40">
        <v>123</v>
      </c>
      <c r="D40">
        <v>122.86</v>
      </c>
    </row>
    <row r="41" spans="1:5">
      <c r="A41" s="2">
        <v>130.9</v>
      </c>
      <c r="B41">
        <v>130</v>
      </c>
      <c r="D41">
        <v>130.81</v>
      </c>
    </row>
    <row r="42" spans="1:5">
      <c r="A42" s="2">
        <v>138.85</v>
      </c>
      <c r="B42">
        <v>138</v>
      </c>
      <c r="D42">
        <v>138.74</v>
      </c>
    </row>
    <row r="43" spans="1:5">
      <c r="A43" s="2">
        <v>150.2</v>
      </c>
      <c r="B43">
        <v>150</v>
      </c>
      <c r="D43">
        <v>150.05</v>
      </c>
    </row>
    <row r="44" spans="1:5">
      <c r="A44" s="1">
        <v>160.15</v>
      </c>
      <c r="B44">
        <v>154</v>
      </c>
      <c r="C44" t="s">
        <v>17</v>
      </c>
      <c r="D44" s="11">
        <v>153.9</v>
      </c>
    </row>
    <row r="46" spans="1:5">
      <c r="A46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谭智钊</dc:creator>
  <cp:lastModifiedBy>谭智钊</cp:lastModifiedBy>
  <dcterms:created xsi:type="dcterms:W3CDTF">2023-05-12T11:15:00Z</dcterms:created>
  <dcterms:modified xsi:type="dcterms:W3CDTF">2026-06-01T15:09:52Z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7CB8A39EC7D14D818138C96443B593D2_12</vt:lpwstr>
  </property>
  <property fmtid="{D5CDD505-2E9C-101B-9397-08002B2CF9AE}" pid="4" name="CalculationRule">
    <vt:i4>0</vt:i4>
  </property>
</Properties>
</file>